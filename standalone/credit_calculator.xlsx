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 mo&quot;"/>
    <numFmt numFmtId="165" formatCode="$#,##0.00"/>
    <numFmt numFmtId="166" formatCode="0.000%"/>
    <numFmt numFmtId="167" formatCode="&quot;$&quot;#,##0.00&quot;/mo&quot;"/>
    <numFmt numFmtId="168" formatCode="$#,##0"/>
  </numFmts>
  <fonts count="10">
    <font>
      <name val="Calibri"/>
      <family val="2"/>
      <color theme="1"/>
      <sz val="11"/>
      <scheme val="minor"/>
    </font>
    <font>
      <name val="Helvetica"/>
      <b val="1"/>
      <color rgb="001A1D24"/>
      <sz val="18"/>
    </font>
    <font>
      <name val="Helvetica"/>
      <b val="1"/>
      <color rgb="001A1D24"/>
      <sz val="13"/>
    </font>
    <font>
      <name val="Helvetica"/>
      <color rgb="004A5160"/>
      <sz val="11"/>
    </font>
    <font>
      <name val="Helvetica"/>
      <b val="1"/>
      <color rgb="001A1D24"/>
      <sz val="11"/>
    </font>
    <font>
      <name val="Helvetica"/>
      <b val="1"/>
      <color rgb="002563EB"/>
      <sz val="11"/>
    </font>
    <font>
      <name val="Helvetica"/>
      <b val="1"/>
      <color rgb="0016A34A"/>
      <sz val="11"/>
    </font>
    <font>
      <name val="Helvetica"/>
      <color rgb="008A8F99"/>
      <sz val="9"/>
    </font>
    <font>
      <name val="Helvetica"/>
      <i val="1"/>
      <color rgb="008A8F99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F1F3F7"/>
      </patternFill>
    </fill>
  </fills>
  <borders count="3">
    <border>
      <left/>
      <right/>
      <top/>
      <bottom/>
      <diagonal/>
    </border>
    <border>
      <left style="thin">
        <color rgb="00E1E4EA"/>
      </left>
      <right style="thin">
        <color rgb="00E1E4EA"/>
      </right>
      <top style="thin">
        <color rgb="00E1E4EA"/>
      </top>
      <bottom style="thin">
        <color rgb="00E1E4EA"/>
      </bottom>
    </border>
    <border>
      <left style="thin">
        <color rgb="00E1E4EA"/>
      </left>
      <right style="thin">
        <color rgb="00E1E4EA"/>
      </right>
      <top style="thin">
        <color rgb="00C5CAD3"/>
      </top>
      <bottom style="thin">
        <color rgb="00C5CA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5" fontId="4" fillId="2" borderId="1" pivotButton="0" quotePrefix="0" xfId="0"/>
    <xf numFmtId="164" fontId="4" fillId="2" borderId="1" pivotButton="0" quotePrefix="0" xfId="0"/>
    <xf numFmtId="165" fontId="4" fillId="0" borderId="0" pivotButton="0" quotePrefix="0" xfId="0"/>
    <xf numFmtId="165" fontId="5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165" fontId="0" fillId="2" borderId="1" pivotButton="0" quotePrefix="0" xfId="0"/>
    <xf numFmtId="165" fontId="5" fillId="0" borderId="1" pivotButton="0" quotePrefix="0" xfId="0"/>
    <xf numFmtId="0" fontId="7" fillId="0" borderId="0" pivotButton="0" quotePrefix="0" xfId="0"/>
    <xf numFmtId="165" fontId="7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5" fontId="4" fillId="0" borderId="1" pivotButton="0" quotePrefix="0" xfId="0"/>
    <xf numFmtId="167" fontId="5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Credit Payment Calculator</t>
        </is>
      </c>
    </row>
    <row r="3">
      <c r="A3" s="2" t="inlineStr">
        <is>
          <t>Inputs (yellow = edit me)</t>
        </is>
      </c>
      <c r="D3" s="2" t="inlineStr">
        <is>
          <t>Quick estimate</t>
        </is>
      </c>
    </row>
    <row r="4">
      <c r="A4" s="3" t="inlineStr">
        <is>
          <t>Province</t>
        </is>
      </c>
      <c r="B4" s="4" t="inlineStr">
        <is>
          <t>British Columbia</t>
        </is>
      </c>
      <c r="D4" s="3" t="inlineStr">
        <is>
          <t>Amount before tax ($)</t>
        </is>
      </c>
      <c r="E4" s="5" t="n">
        <v>1000</v>
      </c>
    </row>
    <row r="5">
      <c r="A5" s="3" t="inlineStr">
        <is>
          <t>Max plan length (months)</t>
        </is>
      </c>
      <c r="B5" s="6" t="n">
        <v>24</v>
      </c>
      <c r="D5" s="3" t="inlineStr">
        <is>
          <t>Total incl. tax</t>
        </is>
      </c>
      <c r="E5" s="7">
        <f>E4*(1+B8)</f>
        <v/>
      </c>
    </row>
    <row r="6">
      <c r="A6" s="3" t="inlineStr">
        <is>
          <t>Down payment ($)</t>
        </is>
      </c>
      <c r="B6" s="5" t="n">
        <v>0</v>
      </c>
      <c r="D6" s="3" t="inlineStr">
        <is>
          <t>Credit (after down)</t>
        </is>
      </c>
      <c r="E6" s="8">
        <f>MAX(0,E5-B6)</f>
        <v/>
      </c>
    </row>
    <row r="8">
      <c r="A8" s="3" t="inlineStr">
        <is>
          <t>Tax rate (auto)</t>
        </is>
      </c>
      <c r="B8" s="9">
        <f>VLOOKUP(B4,Reference!B2:C14,2,FALSE)</f>
        <v/>
      </c>
      <c r="D8" s="3" t="inlineStr">
        <is>
          <t>Longest Flexiti</t>
        </is>
      </c>
      <c r="E8" s="10">
        <f>IF($E$6=0,"-",IF(AND(45&lt;=$B$5,$E$6&gt;=4500),"45 mo: $"&amp;TEXT(($E$6+249.99)/45,"#,##0.00")&amp;"/mo",IF(AND(24&lt;=$B$5,$E$6&gt;=2000),"24 mo: $"&amp;TEXT(($E$6+99.99)/24,"#,##0.00")&amp;"/mo",IF(AND(18&lt;=$B$5,$E$6&gt;=1500),"18 mo: $"&amp;TEXT(($E$6+74.99)/18,"#,##0.00")&amp;"/mo",IF(AND(12&lt;=$B$5,$E$6&gt;=1000),"12 mo: $"&amp;TEXT(($E$6+49.99)/12,"#,##0.00")&amp;"/mo",IF(AND(6&lt;=$B$5,$E$6&gt;=500),"6 mo: $"&amp;TEXT(($E$6+24.99)/6,"#,##0.00")&amp;"/mo",IF(AND(3&lt;=$B$5,$E$6&gt;=0),"3 mo: $"&amp;TEXT(($E$6+0)/3,"#,##0.00")&amp;"/mo","-")))))))</f>
        <v/>
      </c>
    </row>
    <row r="9">
      <c r="D9" s="3" t="inlineStr">
        <is>
          <t>Longest MHC</t>
        </is>
      </c>
      <c r="E9" s="11">
        <f>IF($E$6=0,"-",IF(AND(24&lt;=$B$5,$E$6&gt;=2000),"24 mo: $"&amp;TEXT(($E$6+50)/24,"#,##0.00")&amp;"/mo",IF(AND(18&lt;=$B$5,$E$6&gt;=1500),"18 mo: $"&amp;TEXT(($E$6+50)/18,"#,##0.00")&amp;"/mo",IF(AND(12&lt;=$B$5,$E$6&gt;=1000),"12 mo: $"&amp;TEXT(($E$6+25)/12,"#,##0.00")&amp;"/mo",IF(AND(6&lt;=$B$5,$E$6&gt;=500),"6 mo: $"&amp;TEXT(($E$6+25)/6,"#,##0.00")&amp;"/mo","-")))))</f>
        <v/>
      </c>
    </row>
    <row r="10">
      <c r="A10" s="2" t="inlineStr">
        <is>
          <t>Items (before tax)</t>
        </is>
      </c>
    </row>
    <row r="11">
      <c r="A11" s="12" t="inlineStr">
        <is>
          <t>Item name</t>
        </is>
      </c>
      <c r="B11" s="12" t="inlineStr">
        <is>
          <t>Amount ($)</t>
        </is>
      </c>
      <c r="C11" s="12" t="inlineStr">
        <is>
          <t>Cumulative</t>
        </is>
      </c>
    </row>
    <row r="12">
      <c r="A12" s="4" t="inlineStr">
        <is>
          <t>Item 1</t>
        </is>
      </c>
      <c r="B12" s="13" t="n">
        <v>1000</v>
      </c>
      <c r="C12" s="14">
        <f>SUM($B$12:B12)</f>
        <v/>
      </c>
    </row>
    <row r="13">
      <c r="A13" s="4" t="inlineStr">
        <is>
          <t>Item 2</t>
        </is>
      </c>
      <c r="B13" s="13" t="n">
        <v>0</v>
      </c>
      <c r="C13" s="14">
        <f>SUM($B$12:B13)</f>
        <v/>
      </c>
    </row>
    <row r="14">
      <c r="A14" s="4" t="inlineStr">
        <is>
          <t>Item 3</t>
        </is>
      </c>
      <c r="B14" s="13" t="n">
        <v>0</v>
      </c>
      <c r="C14" s="14">
        <f>SUM($B$12:B14)</f>
        <v/>
      </c>
    </row>
    <row r="15">
      <c r="A15" s="4" t="inlineStr">
        <is>
          <t>Item 4</t>
        </is>
      </c>
      <c r="B15" s="13" t="n">
        <v>0</v>
      </c>
      <c r="C15" s="14">
        <f>SUM($B$12:B15)</f>
        <v/>
      </c>
    </row>
    <row r="16">
      <c r="A16" s="4" t="inlineStr">
        <is>
          <t>Item 5</t>
        </is>
      </c>
      <c r="B16" s="13" t="n">
        <v>0</v>
      </c>
      <c r="C16" s="14">
        <f>SUM($B$12:B16)</f>
        <v/>
      </c>
    </row>
    <row r="17">
      <c r="A17" s="4" t="inlineStr">
        <is>
          <t>Item 6</t>
        </is>
      </c>
      <c r="B17" s="13" t="n">
        <v>0</v>
      </c>
      <c r="C17" s="14">
        <f>SUM($B$12:B17)</f>
        <v/>
      </c>
    </row>
    <row r="18">
      <c r="A18" s="4" t="inlineStr">
        <is>
          <t>Item 7</t>
        </is>
      </c>
      <c r="B18" s="13" t="n">
        <v>0</v>
      </c>
      <c r="C18" s="14">
        <f>SUM($B$12:B18)</f>
        <v/>
      </c>
    </row>
    <row r="19">
      <c r="A19" s="4" t="inlineStr">
        <is>
          <t>Item 8</t>
        </is>
      </c>
      <c r="B19" s="13" t="n">
        <v>0</v>
      </c>
      <c r="C19" s="14">
        <f>SUM($B$12:B19)</f>
        <v/>
      </c>
    </row>
    <row r="21">
      <c r="A21" s="2" t="inlineStr">
        <is>
          <t>Totals</t>
        </is>
      </c>
    </row>
    <row r="22">
      <c r="A22" s="3" t="inlineStr">
        <is>
          <t>Subtotal</t>
        </is>
      </c>
      <c r="B22" s="7">
        <f>SUM(B12:B19)</f>
        <v/>
      </c>
    </row>
    <row r="23">
      <c r="A23" s="3" t="inlineStr">
        <is>
          <t>Tax</t>
        </is>
      </c>
      <c r="B23" s="7">
        <f>B22*B8</f>
        <v/>
      </c>
    </row>
    <row r="24">
      <c r="A24" s="3" t="inlineStr">
        <is>
          <t>Total (incl. tax)</t>
        </is>
      </c>
      <c r="B24" s="8">
        <f>B22+B23</f>
        <v/>
      </c>
    </row>
    <row r="25">
      <c r="A25" s="3" t="inlineStr">
        <is>
          <t>Down payment</t>
        </is>
      </c>
      <c r="B25" s="7">
        <f>B6</f>
        <v/>
      </c>
    </row>
    <row r="26">
      <c r="A26" s="15" t="inlineStr">
        <is>
          <t>20% suggested</t>
        </is>
      </c>
      <c r="B26" s="16">
        <f>B24*0.2</f>
        <v/>
      </c>
    </row>
    <row r="27">
      <c r="A27" s="3" t="inlineStr">
        <is>
          <t>Credit amount</t>
        </is>
      </c>
      <c r="B27" s="8">
        <f>MAX(0,B24-B25)</f>
        <v/>
      </c>
    </row>
    <row r="29">
      <c r="A29" s="2" t="inlineStr">
        <is>
          <t>Flexiti — monthly payment by plan</t>
        </is>
      </c>
    </row>
    <row r="30" ht="30" customHeight="1">
      <c r="A30" s="17" t="inlineStr">
        <is>
          <t>Cumulative incl. tax less down</t>
        </is>
      </c>
      <c r="B30" s="12" t="inlineStr">
        <is>
          <t>3 mo
+$0.00 fee</t>
        </is>
      </c>
      <c r="C30" s="12" t="inlineStr">
        <is>
          <t>6 mo
+$24.99 fee</t>
        </is>
      </c>
      <c r="D30" s="12" t="inlineStr">
        <is>
          <t>12 mo
+$49.99 fee</t>
        </is>
      </c>
      <c r="E30" s="12" t="inlineStr">
        <is>
          <t>18 mo
+$74.99 fee</t>
        </is>
      </c>
      <c r="F30" s="12" t="inlineStr">
        <is>
          <t>24 mo
+$99.99 fee</t>
        </is>
      </c>
      <c r="G30" s="12" t="inlineStr">
        <is>
          <t>45 mo
+$249.99 fee</t>
        </is>
      </c>
    </row>
    <row r="31">
      <c r="A31" s="18">
        <f>IF(C12=0,"",MAX(0,C12*(1+$B$8)-$B$25))</f>
        <v/>
      </c>
      <c r="B31" s="19">
        <f>IF(C12=0,"",IF(3&gt;$B$5,"-",IF(A31&lt;0,"Min $0",(A31+0)/3)))</f>
        <v/>
      </c>
      <c r="C31" s="19">
        <f>IF(C12=0,"",IF(6&gt;$B$5,"-",IF(A31&lt;500,"Min $500",(A31+24.99)/6)))</f>
        <v/>
      </c>
      <c r="D31" s="19">
        <f>IF(C12=0,"",IF(12&gt;$B$5,"-",IF(A31&lt;1000,"Min $1000",(A31+49.99)/12)))</f>
        <v/>
      </c>
      <c r="E31" s="19">
        <f>IF(C12=0,"",IF(18&gt;$B$5,"-",IF(A31&lt;1500,"Min $1500",(A31+74.99)/18)))</f>
        <v/>
      </c>
      <c r="F31" s="19">
        <f>IF(C12=0,"",IF(24&gt;$B$5,"-",IF(A31&lt;2000,"Min $2000",(A31+99.99)/24)))</f>
        <v/>
      </c>
      <c r="G31" s="19">
        <f>IF(C12=0,"",IF(45&gt;$B$5,"-",IF(A31&lt;4500,"Min $4500",(A31+249.99)/45)))</f>
        <v/>
      </c>
    </row>
    <row r="32">
      <c r="A32" s="18">
        <f>IF(C13=0,"",MAX(0,C13*(1+$B$8)-$B$25))</f>
        <v/>
      </c>
      <c r="B32" s="19">
        <f>IF(C13=0,"",IF(3&gt;$B$5,"-",IF(A32&lt;0,"Min $0",(A32+0)/3)))</f>
        <v/>
      </c>
      <c r="C32" s="19">
        <f>IF(C13=0,"",IF(6&gt;$B$5,"-",IF(A32&lt;500,"Min $500",(A32+24.99)/6)))</f>
        <v/>
      </c>
      <c r="D32" s="19">
        <f>IF(C13=0,"",IF(12&gt;$B$5,"-",IF(A32&lt;1000,"Min $1000",(A32+49.99)/12)))</f>
        <v/>
      </c>
      <c r="E32" s="19">
        <f>IF(C13=0,"",IF(18&gt;$B$5,"-",IF(A32&lt;1500,"Min $1500",(A32+74.99)/18)))</f>
        <v/>
      </c>
      <c r="F32" s="19">
        <f>IF(C13=0,"",IF(24&gt;$B$5,"-",IF(A32&lt;2000,"Min $2000",(A32+99.99)/24)))</f>
        <v/>
      </c>
      <c r="G32" s="19">
        <f>IF(C13=0,"",IF(45&gt;$B$5,"-",IF(A32&lt;4500,"Min $4500",(A32+249.99)/45)))</f>
        <v/>
      </c>
    </row>
    <row r="33">
      <c r="A33" s="18">
        <f>IF(C14=0,"",MAX(0,C14*(1+$B$8)-$B$25))</f>
        <v/>
      </c>
      <c r="B33" s="19">
        <f>IF(C14=0,"",IF(3&gt;$B$5,"-",IF(A33&lt;0,"Min $0",(A33+0)/3)))</f>
        <v/>
      </c>
      <c r="C33" s="19">
        <f>IF(C14=0,"",IF(6&gt;$B$5,"-",IF(A33&lt;500,"Min $500",(A33+24.99)/6)))</f>
        <v/>
      </c>
      <c r="D33" s="19">
        <f>IF(C14=0,"",IF(12&gt;$B$5,"-",IF(A33&lt;1000,"Min $1000",(A33+49.99)/12)))</f>
        <v/>
      </c>
      <c r="E33" s="19">
        <f>IF(C14=0,"",IF(18&gt;$B$5,"-",IF(A33&lt;1500,"Min $1500",(A33+74.99)/18)))</f>
        <v/>
      </c>
      <c r="F33" s="19">
        <f>IF(C14=0,"",IF(24&gt;$B$5,"-",IF(A33&lt;2000,"Min $2000",(A33+99.99)/24)))</f>
        <v/>
      </c>
      <c r="G33" s="19">
        <f>IF(C14=0,"",IF(45&gt;$B$5,"-",IF(A33&lt;4500,"Min $4500",(A33+249.99)/45)))</f>
        <v/>
      </c>
    </row>
    <row r="34">
      <c r="A34" s="18">
        <f>IF(C15=0,"",MAX(0,C15*(1+$B$8)-$B$25))</f>
        <v/>
      </c>
      <c r="B34" s="19">
        <f>IF(C15=0,"",IF(3&gt;$B$5,"-",IF(A34&lt;0,"Min $0",(A34+0)/3)))</f>
        <v/>
      </c>
      <c r="C34" s="19">
        <f>IF(C15=0,"",IF(6&gt;$B$5,"-",IF(A34&lt;500,"Min $500",(A34+24.99)/6)))</f>
        <v/>
      </c>
      <c r="D34" s="19">
        <f>IF(C15=0,"",IF(12&gt;$B$5,"-",IF(A34&lt;1000,"Min $1000",(A34+49.99)/12)))</f>
        <v/>
      </c>
      <c r="E34" s="19">
        <f>IF(C15=0,"",IF(18&gt;$B$5,"-",IF(A34&lt;1500,"Min $1500",(A34+74.99)/18)))</f>
        <v/>
      </c>
      <c r="F34" s="19">
        <f>IF(C15=0,"",IF(24&gt;$B$5,"-",IF(A34&lt;2000,"Min $2000",(A34+99.99)/24)))</f>
        <v/>
      </c>
      <c r="G34" s="19">
        <f>IF(C15=0,"",IF(45&gt;$B$5,"-",IF(A34&lt;4500,"Min $4500",(A34+249.99)/45)))</f>
        <v/>
      </c>
    </row>
    <row r="35">
      <c r="A35" s="18">
        <f>IF(C16=0,"",MAX(0,C16*(1+$B$8)-$B$25))</f>
        <v/>
      </c>
      <c r="B35" s="19">
        <f>IF(C16=0,"",IF(3&gt;$B$5,"-",IF(A35&lt;0,"Min $0",(A35+0)/3)))</f>
        <v/>
      </c>
      <c r="C35" s="19">
        <f>IF(C16=0,"",IF(6&gt;$B$5,"-",IF(A35&lt;500,"Min $500",(A35+24.99)/6)))</f>
        <v/>
      </c>
      <c r="D35" s="19">
        <f>IF(C16=0,"",IF(12&gt;$B$5,"-",IF(A35&lt;1000,"Min $1000",(A35+49.99)/12)))</f>
        <v/>
      </c>
      <c r="E35" s="19">
        <f>IF(C16=0,"",IF(18&gt;$B$5,"-",IF(A35&lt;1500,"Min $1500",(A35+74.99)/18)))</f>
        <v/>
      </c>
      <c r="F35" s="19">
        <f>IF(C16=0,"",IF(24&gt;$B$5,"-",IF(A35&lt;2000,"Min $2000",(A35+99.99)/24)))</f>
        <v/>
      </c>
      <c r="G35" s="19">
        <f>IF(C16=0,"",IF(45&gt;$B$5,"-",IF(A35&lt;4500,"Min $4500",(A35+249.99)/45)))</f>
        <v/>
      </c>
    </row>
    <row r="36">
      <c r="A36" s="18">
        <f>IF(C17=0,"",MAX(0,C17*(1+$B$8)-$B$25))</f>
        <v/>
      </c>
      <c r="B36" s="19">
        <f>IF(C17=0,"",IF(3&gt;$B$5,"-",IF(A36&lt;0,"Min $0",(A36+0)/3)))</f>
        <v/>
      </c>
      <c r="C36" s="19">
        <f>IF(C17=0,"",IF(6&gt;$B$5,"-",IF(A36&lt;500,"Min $500",(A36+24.99)/6)))</f>
        <v/>
      </c>
      <c r="D36" s="19">
        <f>IF(C17=0,"",IF(12&gt;$B$5,"-",IF(A36&lt;1000,"Min $1000",(A36+49.99)/12)))</f>
        <v/>
      </c>
      <c r="E36" s="19">
        <f>IF(C17=0,"",IF(18&gt;$B$5,"-",IF(A36&lt;1500,"Min $1500",(A36+74.99)/18)))</f>
        <v/>
      </c>
      <c r="F36" s="19">
        <f>IF(C17=0,"",IF(24&gt;$B$5,"-",IF(A36&lt;2000,"Min $2000",(A36+99.99)/24)))</f>
        <v/>
      </c>
      <c r="G36" s="19">
        <f>IF(C17=0,"",IF(45&gt;$B$5,"-",IF(A36&lt;4500,"Min $4500",(A36+249.99)/45)))</f>
        <v/>
      </c>
    </row>
    <row r="37">
      <c r="A37" s="18">
        <f>IF(C18=0,"",MAX(0,C18*(1+$B$8)-$B$25))</f>
        <v/>
      </c>
      <c r="B37" s="19">
        <f>IF(C18=0,"",IF(3&gt;$B$5,"-",IF(A37&lt;0,"Min $0",(A37+0)/3)))</f>
        <v/>
      </c>
      <c r="C37" s="19">
        <f>IF(C18=0,"",IF(6&gt;$B$5,"-",IF(A37&lt;500,"Min $500",(A37+24.99)/6)))</f>
        <v/>
      </c>
      <c r="D37" s="19">
        <f>IF(C18=0,"",IF(12&gt;$B$5,"-",IF(A37&lt;1000,"Min $1000",(A37+49.99)/12)))</f>
        <v/>
      </c>
      <c r="E37" s="19">
        <f>IF(C18=0,"",IF(18&gt;$B$5,"-",IF(A37&lt;1500,"Min $1500",(A37+74.99)/18)))</f>
        <v/>
      </c>
      <c r="F37" s="19">
        <f>IF(C18=0,"",IF(24&gt;$B$5,"-",IF(A37&lt;2000,"Min $2000",(A37+99.99)/24)))</f>
        <v/>
      </c>
      <c r="G37" s="19">
        <f>IF(C18=0,"",IF(45&gt;$B$5,"-",IF(A37&lt;4500,"Min $4500",(A37+249.99)/45)))</f>
        <v/>
      </c>
    </row>
    <row r="38">
      <c r="A38" s="18">
        <f>IF(C19=0,"",MAX(0,C19*(1+$B$8)-$B$25))</f>
        <v/>
      </c>
      <c r="B38" s="19">
        <f>IF(C19=0,"",IF(3&gt;$B$5,"-",IF(A38&lt;0,"Min $0",(A38+0)/3)))</f>
        <v/>
      </c>
      <c r="C38" s="19">
        <f>IF(C19=0,"",IF(6&gt;$B$5,"-",IF(A38&lt;500,"Min $500",(A38+24.99)/6)))</f>
        <v/>
      </c>
      <c r="D38" s="19">
        <f>IF(C19=0,"",IF(12&gt;$B$5,"-",IF(A38&lt;1000,"Min $1000",(A38+49.99)/12)))</f>
        <v/>
      </c>
      <c r="E38" s="19">
        <f>IF(C19=0,"",IF(18&gt;$B$5,"-",IF(A38&lt;1500,"Min $1500",(A38+74.99)/18)))</f>
        <v/>
      </c>
      <c r="F38" s="19">
        <f>IF(C19=0,"",IF(24&gt;$B$5,"-",IF(A38&lt;2000,"Min $2000",(A38+99.99)/24)))</f>
        <v/>
      </c>
      <c r="G38" s="19">
        <f>IF(C19=0,"",IF(45&gt;$B$5,"-",IF(A38&lt;4500,"Min $4500",(A38+249.99)/45)))</f>
        <v/>
      </c>
    </row>
    <row r="40">
      <c r="A40" s="2" t="inlineStr">
        <is>
          <t>MHC — monthly payment by plan</t>
        </is>
      </c>
    </row>
    <row r="41" ht="30" customHeight="1">
      <c r="A41" s="3" t="inlineStr">
        <is>
          <t>Cumulative incl. tax less down</t>
        </is>
      </c>
      <c r="B41" s="12" t="inlineStr">
        <is>
          <t>6 mo
$25/yr fee</t>
        </is>
      </c>
      <c r="C41" s="12" t="inlineStr">
        <is>
          <t>12 mo
$25/yr fee</t>
        </is>
      </c>
      <c r="D41" s="12" t="inlineStr">
        <is>
          <t>18 mo
$25/yr fee</t>
        </is>
      </c>
      <c r="E41" s="12" t="inlineStr">
        <is>
          <t>24 mo
$25/yr fee</t>
        </is>
      </c>
    </row>
    <row r="42">
      <c r="A42" s="18">
        <f>IF(C12=0,"",MAX(0,C12*(1+$B$8)-$B$25))</f>
        <v/>
      </c>
      <c r="B42" s="20">
        <f>IF(C12=0,"",IF(6&gt;$B$5,"-",IF(A42&lt;500,"Min $500",(A42+25)/6)))</f>
        <v/>
      </c>
      <c r="C42" s="20">
        <f>IF(C12=0,"",IF(12&gt;$B$5,"-",IF(A42&lt;1000,"Min $1000",(A42+25)/12)))</f>
        <v/>
      </c>
      <c r="D42" s="20">
        <f>IF(C12=0,"",IF(18&gt;$B$5,"-",IF(A42&lt;1500,"Min $1500",(A42+50)/18)))</f>
        <v/>
      </c>
      <c r="E42" s="20">
        <f>IF(C12=0,"",IF(24&gt;$B$5,"-",IF(A42&lt;2000,"Min $2000",(A42+50)/24)))</f>
        <v/>
      </c>
    </row>
    <row r="43">
      <c r="A43" s="18">
        <f>IF(C13=0,"",MAX(0,C13*(1+$B$8)-$B$25))</f>
        <v/>
      </c>
      <c r="B43" s="20">
        <f>IF(C13=0,"",IF(6&gt;$B$5,"-",IF(A43&lt;500,"Min $500",(A43+25)/6)))</f>
        <v/>
      </c>
      <c r="C43" s="20">
        <f>IF(C13=0,"",IF(12&gt;$B$5,"-",IF(A43&lt;1000,"Min $1000",(A43+25)/12)))</f>
        <v/>
      </c>
      <c r="D43" s="20">
        <f>IF(C13=0,"",IF(18&gt;$B$5,"-",IF(A43&lt;1500,"Min $1500",(A43+50)/18)))</f>
        <v/>
      </c>
      <c r="E43" s="20">
        <f>IF(C13=0,"",IF(24&gt;$B$5,"-",IF(A43&lt;2000,"Min $2000",(A43+50)/24)))</f>
        <v/>
      </c>
    </row>
    <row r="44">
      <c r="A44" s="18">
        <f>IF(C14=0,"",MAX(0,C14*(1+$B$8)-$B$25))</f>
        <v/>
      </c>
      <c r="B44" s="20">
        <f>IF(C14=0,"",IF(6&gt;$B$5,"-",IF(A44&lt;500,"Min $500",(A44+25)/6)))</f>
        <v/>
      </c>
      <c r="C44" s="20">
        <f>IF(C14=0,"",IF(12&gt;$B$5,"-",IF(A44&lt;1000,"Min $1000",(A44+25)/12)))</f>
        <v/>
      </c>
      <c r="D44" s="20">
        <f>IF(C14=0,"",IF(18&gt;$B$5,"-",IF(A44&lt;1500,"Min $1500",(A44+50)/18)))</f>
        <v/>
      </c>
      <c r="E44" s="20">
        <f>IF(C14=0,"",IF(24&gt;$B$5,"-",IF(A44&lt;2000,"Min $2000",(A44+50)/24)))</f>
        <v/>
      </c>
    </row>
    <row r="45">
      <c r="A45" s="18">
        <f>IF(C15=0,"",MAX(0,C15*(1+$B$8)-$B$25))</f>
        <v/>
      </c>
      <c r="B45" s="20">
        <f>IF(C15=0,"",IF(6&gt;$B$5,"-",IF(A45&lt;500,"Min $500",(A45+25)/6)))</f>
        <v/>
      </c>
      <c r="C45" s="20">
        <f>IF(C15=0,"",IF(12&gt;$B$5,"-",IF(A45&lt;1000,"Min $1000",(A45+25)/12)))</f>
        <v/>
      </c>
      <c r="D45" s="20">
        <f>IF(C15=0,"",IF(18&gt;$B$5,"-",IF(A45&lt;1500,"Min $1500",(A45+50)/18)))</f>
        <v/>
      </c>
      <c r="E45" s="20">
        <f>IF(C15=0,"",IF(24&gt;$B$5,"-",IF(A45&lt;2000,"Min $2000",(A45+50)/24)))</f>
        <v/>
      </c>
    </row>
    <row r="46">
      <c r="A46" s="18">
        <f>IF(C16=0,"",MAX(0,C16*(1+$B$8)-$B$25))</f>
        <v/>
      </c>
      <c r="B46" s="20">
        <f>IF(C16=0,"",IF(6&gt;$B$5,"-",IF(A46&lt;500,"Min $500",(A46+25)/6)))</f>
        <v/>
      </c>
      <c r="C46" s="20">
        <f>IF(C16=0,"",IF(12&gt;$B$5,"-",IF(A46&lt;1000,"Min $1000",(A46+25)/12)))</f>
        <v/>
      </c>
      <c r="D46" s="20">
        <f>IF(C16=0,"",IF(18&gt;$B$5,"-",IF(A46&lt;1500,"Min $1500",(A46+50)/18)))</f>
        <v/>
      </c>
      <c r="E46" s="20">
        <f>IF(C16=0,"",IF(24&gt;$B$5,"-",IF(A46&lt;2000,"Min $2000",(A46+50)/24)))</f>
        <v/>
      </c>
    </row>
    <row r="47">
      <c r="A47" s="18">
        <f>IF(C17=0,"",MAX(0,C17*(1+$B$8)-$B$25))</f>
        <v/>
      </c>
      <c r="B47" s="20">
        <f>IF(C17=0,"",IF(6&gt;$B$5,"-",IF(A47&lt;500,"Min $500",(A47+25)/6)))</f>
        <v/>
      </c>
      <c r="C47" s="20">
        <f>IF(C17=0,"",IF(12&gt;$B$5,"-",IF(A47&lt;1000,"Min $1000",(A47+25)/12)))</f>
        <v/>
      </c>
      <c r="D47" s="20">
        <f>IF(C17=0,"",IF(18&gt;$B$5,"-",IF(A47&lt;1500,"Min $1500",(A47+50)/18)))</f>
        <v/>
      </c>
      <c r="E47" s="20">
        <f>IF(C17=0,"",IF(24&gt;$B$5,"-",IF(A47&lt;2000,"Min $2000",(A47+50)/24)))</f>
        <v/>
      </c>
    </row>
    <row r="48">
      <c r="A48" s="18">
        <f>IF(C18=0,"",MAX(0,C18*(1+$B$8)-$B$25))</f>
        <v/>
      </c>
      <c r="B48" s="20">
        <f>IF(C18=0,"",IF(6&gt;$B$5,"-",IF(A48&lt;500,"Min $500",(A48+25)/6)))</f>
        <v/>
      </c>
      <c r="C48" s="20">
        <f>IF(C18=0,"",IF(12&gt;$B$5,"-",IF(A48&lt;1000,"Min $1000",(A48+25)/12)))</f>
        <v/>
      </c>
      <c r="D48" s="20">
        <f>IF(C18=0,"",IF(18&gt;$B$5,"-",IF(A48&lt;1500,"Min $1500",(A48+50)/18)))</f>
        <v/>
      </c>
      <c r="E48" s="20">
        <f>IF(C18=0,"",IF(24&gt;$B$5,"-",IF(A48&lt;2000,"Min $2000",(A48+50)/24)))</f>
        <v/>
      </c>
    </row>
    <row r="49">
      <c r="A49" s="18">
        <f>IF(C19=0,"",MAX(0,C19*(1+$B$8)-$B$25))</f>
        <v/>
      </c>
      <c r="B49" s="20">
        <f>IF(C19=0,"",IF(6&gt;$B$5,"-",IF(A49&lt;500,"Min $500",(A49+25)/6)))</f>
        <v/>
      </c>
      <c r="C49" s="20">
        <f>IF(C19=0,"",IF(12&gt;$B$5,"-",IF(A49&lt;1000,"Min $1000",(A49+25)/12)))</f>
        <v/>
      </c>
      <c r="D49" s="20">
        <f>IF(C19=0,"",IF(18&gt;$B$5,"-",IF(A49&lt;1500,"Min $1500",(A49+50)/18)))</f>
        <v/>
      </c>
      <c r="E49" s="20">
        <f>IF(C19=0,"",IF(24&gt;$B$5,"-",IF(A49&lt;2000,"Min $2000",(A49+50)/24)))</f>
        <v/>
      </c>
    </row>
    <row r="51">
      <c r="A51" s="2" t="inlineStr">
        <is>
          <t>How it works</t>
        </is>
      </c>
    </row>
    <row r="52">
      <c r="A52" s="21" t="inlineStr">
        <is>
          <t>1. Pick your province in B4 — tax rate auto-fills.</t>
        </is>
      </c>
    </row>
    <row r="53">
      <c r="A53" s="21" t="inlineStr">
        <is>
          <t>2. Set max plan length in B5 (6/12/18/24/45 months) — caps which terms appear.</t>
        </is>
      </c>
    </row>
    <row r="54">
      <c r="A54" s="21" t="inlineStr">
        <is>
          <t>3. Enter line items in A12:B19. The "Cumulative" column shows running totals.</t>
        </is>
      </c>
    </row>
    <row r="55">
      <c r="A55" s="21" t="inlineStr">
        <is>
          <t>4. Optionally enter a down payment in B6 (or use the 20% suggestion in B26).</t>
        </is>
      </c>
    </row>
    <row r="56">
      <c r="A56" s="21" t="inlineStr">
        <is>
          <t>5. Flexiti and MHC tables compute monthly payment for each cumulative subtotal.</t>
        </is>
      </c>
    </row>
    <row r="57">
      <c r="A57" s="21" t="inlineStr">
        <is>
          <t>6. "Min $X" = below tier minimum.  "—" = exceeds your max plan length.</t>
        </is>
      </c>
    </row>
  </sheetData>
  <mergeCells count="6">
    <mergeCell ref="A56:H56"/>
    <mergeCell ref="A53:H53"/>
    <mergeCell ref="A55:H55"/>
    <mergeCell ref="A57:H57"/>
    <mergeCell ref="A54:H54"/>
    <mergeCell ref="A52:H52"/>
  </mergeCells>
  <dataValidations count="2">
    <dataValidation sqref="B4" showDropDown="0" showInputMessage="0" showErrorMessage="0" allowBlank="0" type="list">
      <formula1>"British Columbia,Alberta,Saskatchewan,Manitoba,Ontario,Quebec,New Brunswick,Nova Scotia,Prince Edward Island,Newfoundland and Labrador,Northwest Territories,Nunavut,Yukon"</formula1>
    </dataValidation>
    <dataValidation sqref="B5" showDropDown="0" showInputMessage="0" showErrorMessage="0" allowBlank="0" type="list">
      <formula1>"6,12,18,24,45"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</cols>
  <sheetData>
    <row r="1">
      <c r="A1" s="22" t="inlineStr">
        <is>
          <t>Code</t>
        </is>
      </c>
      <c r="B1" s="22" t="inlineStr">
        <is>
          <t>Province</t>
        </is>
      </c>
      <c r="C1" s="22" t="inlineStr">
        <is>
          <t>Tax rate</t>
        </is>
      </c>
      <c r="E1" s="22" t="inlineStr">
        <is>
          <t>Flexiti tier</t>
        </is>
      </c>
      <c r="F1" s="22" t="inlineStr">
        <is>
          <t>Months</t>
        </is>
      </c>
      <c r="G1" s="22" t="inlineStr">
        <is>
          <t>Admin fee</t>
        </is>
      </c>
      <c r="H1" s="22" t="inlineStr">
        <is>
          <t>Min credit</t>
        </is>
      </c>
      <c r="J1" s="22" t="inlineStr">
        <is>
          <t>MHC tier</t>
        </is>
      </c>
      <c r="K1" s="22" t="inlineStr">
        <is>
          <t>Months</t>
        </is>
      </c>
      <c r="L1" s="22" t="inlineStr">
        <is>
          <t>Annual fee</t>
        </is>
      </c>
      <c r="M1" s="22" t="inlineStr">
        <is>
          <t>Min credit</t>
        </is>
      </c>
    </row>
    <row r="2">
      <c r="A2" t="inlineStr">
        <is>
          <t>BC</t>
        </is>
      </c>
      <c r="B2" t="inlineStr">
        <is>
          <t>British Columbia</t>
        </is>
      </c>
      <c r="C2" s="23" t="n">
        <v>0.12</v>
      </c>
      <c r="E2" t="inlineStr">
        <is>
          <t>F-3</t>
        </is>
      </c>
      <c r="F2" t="n">
        <v>3</v>
      </c>
      <c r="G2" s="24" t="n">
        <v>0</v>
      </c>
      <c r="H2" s="25" t="n">
        <v>0</v>
      </c>
      <c r="J2" t="inlineStr">
        <is>
          <t>M-6</t>
        </is>
      </c>
      <c r="K2" t="n">
        <v>6</v>
      </c>
      <c r="L2" s="25" t="n">
        <v>25</v>
      </c>
      <c r="M2" s="25" t="n">
        <v>500</v>
      </c>
    </row>
    <row r="3">
      <c r="A3" t="inlineStr">
        <is>
          <t>AB</t>
        </is>
      </c>
      <c r="B3" t="inlineStr">
        <is>
          <t>Alberta</t>
        </is>
      </c>
      <c r="C3" s="23" t="n">
        <v>0.05</v>
      </c>
      <c r="E3" t="inlineStr">
        <is>
          <t>F-6</t>
        </is>
      </c>
      <c r="F3" t="n">
        <v>6</v>
      </c>
      <c r="G3" s="24" t="n">
        <v>24.99</v>
      </c>
      <c r="H3" s="25" t="n">
        <v>500</v>
      </c>
      <c r="J3" t="inlineStr">
        <is>
          <t>M-12</t>
        </is>
      </c>
      <c r="K3" t="n">
        <v>12</v>
      </c>
      <c r="L3" s="25" t="n">
        <v>25</v>
      </c>
      <c r="M3" s="25" t="n">
        <v>1000</v>
      </c>
    </row>
    <row r="4">
      <c r="A4" t="inlineStr">
        <is>
          <t>SK</t>
        </is>
      </c>
      <c r="B4" t="inlineStr">
        <is>
          <t>Saskatchewan</t>
        </is>
      </c>
      <c r="C4" s="23" t="n">
        <v>0.11</v>
      </c>
      <c r="E4" t="inlineStr">
        <is>
          <t>F-12</t>
        </is>
      </c>
      <c r="F4" t="n">
        <v>12</v>
      </c>
      <c r="G4" s="24" t="n">
        <v>49.99</v>
      </c>
      <c r="H4" s="25" t="n">
        <v>1000</v>
      </c>
      <c r="J4" t="inlineStr">
        <is>
          <t>M-18</t>
        </is>
      </c>
      <c r="K4" t="n">
        <v>18</v>
      </c>
      <c r="L4" s="25" t="n">
        <v>25</v>
      </c>
      <c r="M4" s="25" t="n">
        <v>1500</v>
      </c>
    </row>
    <row r="5">
      <c r="A5" t="inlineStr">
        <is>
          <t>MB</t>
        </is>
      </c>
      <c r="B5" t="inlineStr">
        <is>
          <t>Manitoba</t>
        </is>
      </c>
      <c r="C5" s="23" t="n">
        <v>0.12</v>
      </c>
      <c r="E5" t="inlineStr">
        <is>
          <t>F-18</t>
        </is>
      </c>
      <c r="F5" t="n">
        <v>18</v>
      </c>
      <c r="G5" s="24" t="n">
        <v>74.98999999999999</v>
      </c>
      <c r="H5" s="25" t="n">
        <v>1500</v>
      </c>
      <c r="J5" t="inlineStr">
        <is>
          <t>M-24</t>
        </is>
      </c>
      <c r="K5" t="n">
        <v>24</v>
      </c>
      <c r="L5" s="25" t="n">
        <v>25</v>
      </c>
      <c r="M5" s="25" t="n">
        <v>2000</v>
      </c>
    </row>
    <row r="6">
      <c r="A6" t="inlineStr">
        <is>
          <t>ON</t>
        </is>
      </c>
      <c r="B6" t="inlineStr">
        <is>
          <t>Ontario</t>
        </is>
      </c>
      <c r="C6" s="23" t="n">
        <v>0.13</v>
      </c>
      <c r="E6" t="inlineStr">
        <is>
          <t>F-24</t>
        </is>
      </c>
      <c r="F6" t="n">
        <v>24</v>
      </c>
      <c r="G6" s="24" t="n">
        <v>99.98999999999999</v>
      </c>
      <c r="H6" s="25" t="n">
        <v>2000</v>
      </c>
    </row>
    <row r="7">
      <c r="A7" t="inlineStr">
        <is>
          <t>QC</t>
        </is>
      </c>
      <c r="B7" t="inlineStr">
        <is>
          <t>Quebec</t>
        </is>
      </c>
      <c r="C7" s="23" t="n">
        <v>0.14975</v>
      </c>
      <c r="E7" t="inlineStr">
        <is>
          <t>F-45</t>
        </is>
      </c>
      <c r="F7" t="n">
        <v>45</v>
      </c>
      <c r="G7" s="24" t="n">
        <v>249.99</v>
      </c>
      <c r="H7" s="25" t="n">
        <v>4500</v>
      </c>
    </row>
    <row r="8">
      <c r="A8" t="inlineStr">
        <is>
          <t>NB</t>
        </is>
      </c>
      <c r="B8" t="inlineStr">
        <is>
          <t>New Brunswick</t>
        </is>
      </c>
      <c r="C8" s="23" t="n">
        <v>0.15</v>
      </c>
    </row>
    <row r="9">
      <c r="A9" t="inlineStr">
        <is>
          <t>NS</t>
        </is>
      </c>
      <c r="B9" t="inlineStr">
        <is>
          <t>Nova Scotia</t>
        </is>
      </c>
      <c r="C9" s="23" t="n">
        <v>0.15</v>
      </c>
    </row>
    <row r="10">
      <c r="A10" t="inlineStr">
        <is>
          <t>PE</t>
        </is>
      </c>
      <c r="B10" t="inlineStr">
        <is>
          <t>Prince Edward Island</t>
        </is>
      </c>
      <c r="C10" s="23" t="n">
        <v>0.15</v>
      </c>
    </row>
    <row r="11">
      <c r="A11" t="inlineStr">
        <is>
          <t>NL</t>
        </is>
      </c>
      <c r="B11" t="inlineStr">
        <is>
          <t>Newfoundland and Labrador</t>
        </is>
      </c>
      <c r="C11" s="23" t="n">
        <v>0.15</v>
      </c>
    </row>
    <row r="12">
      <c r="A12" t="inlineStr">
        <is>
          <t>NT</t>
        </is>
      </c>
      <c r="B12" t="inlineStr">
        <is>
          <t>Northwest Territories</t>
        </is>
      </c>
      <c r="C12" s="23" t="n">
        <v>0.05</v>
      </c>
    </row>
    <row r="13">
      <c r="A13" t="inlineStr">
        <is>
          <t>NU</t>
        </is>
      </c>
      <c r="B13" t="inlineStr">
        <is>
          <t>Nunavut</t>
        </is>
      </c>
      <c r="C13" s="23" t="n">
        <v>0.05</v>
      </c>
    </row>
    <row r="14">
      <c r="A14" t="inlineStr">
        <is>
          <t>YT</t>
        </is>
      </c>
      <c r="B14" t="inlineStr">
        <is>
          <t>Yukon</t>
        </is>
      </c>
      <c r="C14" s="2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2026-04-30T17:54:12Z</dcterms:created>
  <dcterms:modified xmlns:dcterms="http://purl.org/dc/terms/" xmlns:xsi="http://www.w3.org/2001/XMLSchema-instance" xsi:type="dcterms:W3CDTF">2026-04-30T17:54:12Z</dcterms:modified>
</cp:coreProperties>
</file>